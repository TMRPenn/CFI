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vr51\Downloads\"/>
    </mc:Choice>
  </mc:AlternateContent>
  <xr:revisionPtr revIDLastSave="0" documentId="13_ncr:1_{D4DA9BAF-EA10-44BA-8DFB-01269FF74D4D}" xr6:coauthVersionLast="47" xr6:coauthVersionMax="47" xr10:uidLastSave="{00000000-0000-0000-0000-000000000000}"/>
  <bookViews>
    <workbookView xWindow="-103" yWindow="-103" windowWidth="33120" windowHeight="18000" firstSheet="1" activeTab="1" xr2:uid="{2B4D5DA3-BD90-4E61-AD22-CDCA575755E6}"/>
  </bookViews>
  <sheets>
    <sheet name="_CIQHiddenCacheSheet" sheetId="23" state="veryHidden" r:id="rId1"/>
    <sheet name="AssetVolatility" sheetId="1" r:id="rId2"/>
    <sheet name="ReleveredVolatility" sheetId="2" r:id="rId3"/>
  </sheets>
  <functionGroups builtInGroupCount="19"/>
  <definedNames>
    <definedName name="__FDS_HYPERLINK_TOGGLE_STATE__" hidden="1">"ON"</definedName>
    <definedName name="_Order1" hidden="1">0</definedName>
    <definedName name="AS2DocOpenMode" hidden="1">"AS2DocumentEdit"</definedName>
    <definedName name="CIQWBGuid" hidden="1">"6e015039-ec0a-45a2-b66b-b2eb4bee4a29"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"ajsdasd"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localSheetId="2" hidden="1">44868.6705439814</definedName>
    <definedName name="IQ_NAMES_REVISION_DATE_" hidden="1">45369.640625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VolData2A17" hidden="1">#REF!</definedName>
    <definedName name="IQRVolData2A18" localSheetId="2" hidden="1">#REF!</definedName>
    <definedName name="IQRVolData2A18" hidden="1">#REF!</definedName>
    <definedName name="IQRVolData2C17" localSheetId="2" hidden="1">#REF!</definedName>
    <definedName name="IQRVolData2C17" hidden="1">#REF!</definedName>
    <definedName name="IQRVolData2C18" localSheetId="2" hidden="1">#REF!</definedName>
    <definedName name="IQRVolData2C18" hidden="1">#REF!</definedName>
    <definedName name="IQRVolData2D17" localSheetId="2" hidden="1">#REF!</definedName>
    <definedName name="IQRVolData2D17" hidden="1">#REF!</definedName>
    <definedName name="IQRVolData2D18" localSheetId="2" hidden="1">#REF!</definedName>
    <definedName name="IQRVolData2D18" hidden="1">#REF!</definedName>
    <definedName name="IQRVolData2F17" localSheetId="2" hidden="1">#REF!</definedName>
    <definedName name="IQRVolData2F17" hidden="1">#REF!</definedName>
    <definedName name="IQRVolData2F18" localSheetId="2" hidden="1">#REF!</definedName>
    <definedName name="IQRVolData2F18" hidden="1">#REF!</definedName>
    <definedName name="IQRVolData2G17" localSheetId="2" hidden="1">#REF!</definedName>
    <definedName name="IQRVolData2G17" hidden="1">#REF!</definedName>
    <definedName name="IQRVolData2G18" localSheetId="2" hidden="1">#REF!</definedName>
    <definedName name="IQRVolData2G18" hidden="1">#REF!</definedName>
    <definedName name="IQRVolData2H17" localSheetId="2" hidden="1">#REF!</definedName>
    <definedName name="IQRVolData2H17" hidden="1">#REF!</definedName>
    <definedName name="IQRVolData2H18" localSheetId="2" hidden="1">#REF!</definedName>
    <definedName name="IQRVolData2H18" hidden="1">#REF!</definedName>
    <definedName name="IQRVolData2I17" localSheetId="2" hidden="1">#REF!</definedName>
    <definedName name="IQRVolData2I17" hidden="1">#REF!</definedName>
    <definedName name="IQRVolData2I18" localSheetId="2" hidden="1">#REF!</definedName>
    <definedName name="IQRVolData2I18" hidden="1">#REF!</definedName>
    <definedName name="IQRVolData2J17" localSheetId="2" hidden="1">#REF!</definedName>
    <definedName name="IQRVolData2J17" hidden="1">#REF!</definedName>
    <definedName name="IQRVolData2J18" localSheetId="2" hidden="1">#REF!</definedName>
    <definedName name="IQRVolData2J18" hidden="1">#REF!</definedName>
    <definedName name="IQRVolData2K17" localSheetId="2" hidden="1">#REF!</definedName>
    <definedName name="IQRVolData2K17" hidden="1">#REF!</definedName>
    <definedName name="IQRVolData2K18" localSheetId="2" hidden="1">#REF!</definedName>
    <definedName name="IQRVolData2K18" hidden="1">#REF!</definedName>
    <definedName name="IQRVolData2L17" localSheetId="2" hidden="1">#REF!</definedName>
    <definedName name="IQRVolData2L17" hidden="1">#REF!</definedName>
    <definedName name="IQRVolData2L18" localSheetId="2" hidden="1">#REF!</definedName>
    <definedName name="IQRVolData2L18" hidden="1">#REF!</definedName>
    <definedName name="IQRVolData2M17" localSheetId="2" hidden="1">#REF!</definedName>
    <definedName name="IQRVolData2M17" hidden="1">#REF!</definedName>
    <definedName name="IQRVolData2M18" localSheetId="2" hidden="1">#REF!</definedName>
    <definedName name="IQRVolData2M18" hidden="1">#REF!</definedName>
    <definedName name="IQRVolData2N17" localSheetId="2" hidden="1">#REF!</definedName>
    <definedName name="IQRVolData2N17" hidden="1">#REF!</definedName>
    <definedName name="IQRVolData2N18" localSheetId="2" hidden="1">#REF!</definedName>
    <definedName name="IQRVolData2N18" hidden="1">#REF!</definedName>
    <definedName name="IQRVolData2O17" localSheetId="2" hidden="1">#REF!</definedName>
    <definedName name="IQRVolData2O17" hidden="1">#REF!</definedName>
    <definedName name="IQRVolData2O18" localSheetId="2" hidden="1">#REF!</definedName>
    <definedName name="IQRVolData2O18" hidden="1">#REF!</definedName>
    <definedName name="IQRVolData2P17" localSheetId="2" hidden="1">#REF!</definedName>
    <definedName name="IQRVolData2P17" hidden="1">#REF!</definedName>
    <definedName name="IQRVolData2P18" localSheetId="2" hidden="1">#REF!</definedName>
    <definedName name="IQRVolData2P18" hidden="1">#REF!</definedName>
    <definedName name="IQRVolData2Q17" localSheetId="2" hidden="1">#REF!</definedName>
    <definedName name="IQRVolData2Q17" hidden="1">#REF!</definedName>
    <definedName name="IQRVolData2Q18" localSheetId="2" hidden="1">#REF!</definedName>
    <definedName name="IQRVolData2Q18" hidden="1">#REF!</definedName>
    <definedName name="IQRVolDataA20" localSheetId="2" hidden="1">#REF!</definedName>
    <definedName name="IQRVolDataA20" hidden="1">#REF!</definedName>
    <definedName name="IQRVolDataI20" localSheetId="2" hidden="1">#REF!</definedName>
    <definedName name="IQRVolDataI20" hidden="1">#REF!</definedName>
    <definedName name="IQRVolDataJ20" localSheetId="2" hidden="1">#REF!</definedName>
    <definedName name="IQRVolDataJ20" hidden="1">#REF!</definedName>
    <definedName name="IQRVolDataK20" localSheetId="2" hidden="1">#REF!</definedName>
    <definedName name="IQRVolDataK20" hidden="1">#REF!</definedName>
    <definedName name="IQRVolDataL20" localSheetId="2" hidden="1">#REF!</definedName>
    <definedName name="IQRVolDataL20" hidden="1">#REF!</definedName>
    <definedName name="IQRVolDataM20" localSheetId="2" hidden="1">#REF!</definedName>
    <definedName name="IQRVolDataM20" hidden="1">#REF!</definedName>
    <definedName name="IQRVolDataN20" localSheetId="2" hidden="1">#REF!</definedName>
    <definedName name="IQRVolDataN20" hidden="1">#REF!</definedName>
    <definedName name="IQRVolDataO20" localSheetId="2" hidden="1">#REF!</definedName>
    <definedName name="IQRVolDataO20" hidden="1">#REF!</definedName>
    <definedName name="IQRVolDataP20" localSheetId="2" hidden="1">#REF!</definedName>
    <definedName name="IQRVolDataP20" hidden="1">#REF!</definedName>
    <definedName name="IQRVolDataQ20" localSheetId="2" hidden="1">#REF!</definedName>
    <definedName name="IQRVolDataQ20" hidden="1">#REF!</definedName>
  </definedNames>
  <calcPr calcId="191029" concurrentCalc="0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2" l="1" a="1"/>
  <c r="G5" i="2"/>
  <c r="J13" i="1" a="1"/>
  <c r="J13" i="1"/>
  <c r="J12" i="1" a="1"/>
  <c r="J12" i="1"/>
  <c r="J9" i="1" a="1"/>
  <c r="J9" i="1"/>
  <c r="J8" i="1" a="1"/>
  <c r="J8" i="1"/>
  <c r="J16" i="1" a="1"/>
  <c r="J16" i="1"/>
  <c r="J17" i="1" a="1"/>
  <c r="J17" i="1"/>
  <c r="J14" i="1" a="1"/>
  <c r="J14" i="1"/>
  <c r="J15" i="1" a="1"/>
  <c r="J15" i="1"/>
  <c r="J10" i="1" a="1"/>
  <c r="J10" i="1"/>
  <c r="J11" i="1" a="1"/>
  <c r="J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<sst xmlns="http://schemas.openxmlformats.org/spreadsheetml/2006/main" count="43" uniqueCount="33">
  <si>
    <t>Book Value of Debt</t>
  </si>
  <si>
    <t>Market Cap</t>
  </si>
  <si>
    <t>Term Period</t>
  </si>
  <si>
    <t xml:space="preserve">Risk-free Rate </t>
  </si>
  <si>
    <t>Equity Volatility</t>
  </si>
  <si>
    <t>N</t>
  </si>
  <si>
    <t>Ticker</t>
  </si>
  <si>
    <t>Company Name</t>
  </si>
  <si>
    <t>ASSET VOLATILITY</t>
  </si>
  <si>
    <t>Asset Volatility</t>
  </si>
  <si>
    <t>Relevered Volatility</t>
  </si>
  <si>
    <t>Asset 
Volatility</t>
  </si>
  <si>
    <t>RELEVERED EQUITY VOLATILITY</t>
  </si>
  <si>
    <t>T</t>
  </si>
  <si>
    <t>E</t>
  </si>
  <si>
    <t>S</t>
  </si>
  <si>
    <t>A</t>
  </si>
  <si>
    <t>M</t>
  </si>
  <si>
    <t>P</t>
  </si>
  <si>
    <t>L</t>
  </si>
  <si>
    <t>Date</t>
  </si>
  <si>
    <t>Valuation Date</t>
  </si>
  <si>
    <t>BAABTAVMT0NBTAFI/////wFQFQAAABVDSVEuVC5JUV9DT01QQU5ZX05BTUUBAAAAh4cBAAMAAAAJQVQmVCBJbmMuAMo6lvbSt9wIAXxsF9O33AgVQ0lRLkUuSVFfQ09NUEFOWV9OQU1FAQAAANLbZgEDAAAAFkVudGVycHJpc2UgR3JvdXAsIEluYy4AyjqW9tK33AgBfGwX07fcCBVDSVEuUy5JUV9DT01QQU5ZX05BTUUBAAAAlOmGDgMAAAARU2VudGluZWxPbmUsIEluYy4AyjqW9tK33AgBfGwX07fcCBVDSVEuQS5JUV9DT01QQU5ZX05BTUUBAAAALF0CAAMAAAAaQWdpbGVudCBUZWNobm9sb2dpZXMsIEluYy4AyjqW9tK33AgBfGwX07fcCBVDSVEuTS5JUV9DT01QQU5ZX05BTUUBAAAAi9oEAAMAAAAMTWFjeSdzLCBJbmMuAMo6lvbSt9wIAXxsF9O33AgVQ0lRLlAuSVFfQ09NUEFOWV9OQU1FAQAAAAXiFwADAAAAHFJhaWxwb3dlciBUZWNobm9sb2dpZXMgQ29ycC4AyjqW9tK33AgBfGwX07fcCBVDSVEuTC5JUV9DT01QQU5ZX05BTUUBAAAA6lwEAAMAAAARTG9ld3MgQ29ycG9yYXRpb24AyjqW9tK33AgBfGwX07fcCCBDSVEuVC5JUV9NQVJLRVRDQVAuNi8zMC8yMDI0LlVTRAEAAACHhwEAAgAAAA0xMzcwMjEuODU1MTM3AQYAAAAFAAAAATEBAAAACy0xOTk3MDI1MTA3AwAAAAMxNjACAAAABjEwMDA1NAQAAAABMAcAAAAJNi8zMC8yMDI0CSe5KNO33AhIMtAo07fcCCBDSVEuRS5JUV9NQVJLRVRDQVAuNi8z</t>
  </si>
  <si>
    <t>MC8yMDI0LlVTRAEAAADS22YBAgAAABA1My41MjczMzQyNDEyMTk4AQYAAAAFAAAAATEBAAAACy0xOTk1Njk1MjUyAwAAAAMxNjACAAAABjEwMDA1NAQAAAABMAcAAAAJNi8zMC8yMDI0CSe5KNO33AhIMtAo07fcCCBDSVEuUy5JUV9NQVJLRVRDQVAuNi8zMC8yMDI0LlVTRAEAAACU6YYOAgAAAAs2NTg1Ljk1Mzc0OAEGAAAABQAAAAExAQAAAAstMTk5MTI4MzAxMgMAAAADMTYwAgAAAAYxMDAwNTQEAAAAATAHAAAACTYvMzAvMjAyNAknuSjTt9wISDLQKNO33AggQ0lRLkEuSVFfTUFSS0VUQ0FQLjYvMzAvMjAyNC5VU0QBAAAALF0CAAIAAAAMMzc4MjAuOTYxODM3AQYAAAAFAAAAATEBAAAACy0xOTkwODkzNjYyAwAAAAMxNjACAAAABjEwMDA1NAQAAAABMAcAAAAJNi8zMC8yMDI0CSe5KNO33AhIMtAo07fcCCBDSVEuTS5JUV9NQVJLRVRDQVAuNi8zMC8yMDI0LlVTRAEAAACL2gQAAgAAAAs1MzA3LjEwMDUzMQEGAAAABQAAAAExAQAAAAstMTk5MTI4NDA2NAMAAAADMTYwAgAAAAYxMDAwNTQEAAAAATAHAAAACTYvMzAvMjAyNAknuSjTt9wISDLQKNO33AggQ0lRLlAuSVFfTUFSS0VUQ0FQLjYvMzAvMjAyNC5VU0QBAAAABeIXAAIAAAAHOC44RS0wNQAJJ7ko07fcCEgy0CjTt9wIIENJUS5MLklRX01BUktFVENBUC42LzMwLzIwMjQuVVNEAQAAAOpcBAACAAAADDE2NTQ3LjkwMzc5OAEGAAAABQAAAAExAQAA</t>
  </si>
  <si>
    <t>AAstMTk5NjI0NDk0MgMAAAADMTYwAgAAAAYxMDAwNTQEAAAAATAHAAAACTYvMzAvMjAyNAknuSjTt9wISDLQKNO33AgpQ0lRLlQuSVFfVE9UQUxfREVCVC4yMDAwLjYvMzAvMjAyNC4uLlVTRC4BAAAAh4cBAAIAAAAGMTQ5NjA1AQgAAAAFAAAAATEBAAAACy0xOTg2Mjc4ODA2AwAAAAMxNjACAAAABDQxNzMEAAAAATAHAAAACTYvMzAvMjAyNAgAAAAJNi8zMC8yMDI0CQAAAAEwBt+CNNO33Aj/vpY007fcCClDSVEuRS5JUV9UT1RBTF9ERUJULjIwMDAuNi8zMC8yMDI0Li4uVVNELgEAAADS22YBAgAAAAkyMC4xODg2MTQBCAAAAAUAAAACMjkCAAAABDQxNzMBAAAACy0xOTg0Mzk0MzYzAwAAAAMxNjAEAAAAATAHAAAACTYvMzAvMjAyNAgAAAAJNi8zMC8yMDI0CQAAAAEwBt+CNNO33Aj/vpY007fcCClDSVEuUy5JUV9UT1RBTF9ERUJULjIwMDAuNi8zMC8yMDI0Li4uVVNELgEAAACU6YYOAgAAAAYyMS40NDYBCAAAAAUAAAABMQEAAAALLTE5OTEyNzQ2MDgDAAAAAzE2MAIAAAAENDE3MwQAAAABMAcAAAAJNi8zMC8yMDI0CAAAAAk0LzMwLzIwMjQJAAAAATAG34I007fcCP++ljTTt9wIKUNJUS5BLklRX1RPVEFMX0RFQlQuMjAwMC42LzMwLzIwMjQuLi5VU0QuAQAAACxdAgACAAAABDI3MjYBCAAAAAUAAAABMQEAAAALLTE5OTA4OTE2NjkDAAAAAzE2MAIAAAAENDE3MwQAAAABMAcAAAAJNi8zMC8yMDI0CAAA</t>
  </si>
  <si>
    <t>AAk0LzMwLzIwMjQJAAAAATAG34I007fcCP++ljTTt9wIKUNJUS5NLklRX1RPVEFMX0RFQlQuMjAwMC42LzMwLzIwMjQuLi5VU0QuAQAAAIvaBAACAAAABDYwMzIBCAAAAAUAAAABMQEAAAALLTE5OTEyNzQ1NzkDAAAAAzE2MAIAAAAENDE3MwQAAAABMAcAAAAJNi8zMC8yMDI0CAAAAAg1LzQvMjAyNAkAAAABMAbfgjTTt9wI/76WNNO33AgpQ0lRLlAuSVFfVE9UQUxfREVCVC4yMDAwLjYvMzAvMjAyNC4uLlVTRC4BAAAABeIXAAIAAAAJMjAuNDM1NTU3AQgAAAAFAAAAATEBAAAACjE2MTUxOTI0NjgDAAAAAzE2MAIAAAAENDE3MwQAAAABMAcAAAAJNi8zMC8yMDI0CAAAAAk5LzMwLzIwMDgJAAAAATAG34I007fcCP++ljTTt9wIKUNJUS5MLklRX1RPVEFMX0RFQlQuMjAwMC42LzMwLzIwMjQuLi5VU0QuAQAAAOpcBAACAAAABDk1NzEBCAAAAAUAAAABMQEAAAALLTE5ODYxMDQ1MTMDAAAAAzE2MAIAAAAENDE3MwQAAAABMAcAAAAJNi8zMC8yMDI0CAAAAAk2LzMwLzIwMjQJAAAAATAG34I007fcCP++ljTTt9wI</t>
  </si>
  <si>
    <t>AT&amp;T Inc.</t>
  </si>
  <si>
    <t>Enterprise Group, Inc.</t>
  </si>
  <si>
    <t>SentinelOne, Inc.</t>
  </si>
  <si>
    <t>Agilent Technologies, Inc.</t>
  </si>
  <si>
    <t>Macy's, Inc.</t>
  </si>
  <si>
    <t>Railpower Technologies Corp.</t>
  </si>
  <si>
    <t>Loews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</si>
</sst>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(&quot;$&quot;* #,##0_);_(&quot;$&quot;* \(#,##0\);_(&quot;$&quot;* &quot;-&quot;_);_(@_)"/>
    <numFmt numFmtId="41" formatCode="_(* #,##0_);_(* \(#,##0\);_(* &quot;-&quot;_);_(@_)"/>
    <numFmt numFmtId="164" formatCode="&quot;$&quot;#,##0"/>
  </numFmts>
  <fonts count="9" x14ac:knownFonts="1">
    <font>
      <sz val="9"/>
      <name val="Arial"/>
      <family val="2"/>
    </font>
    <font>
      <sz val="9"/>
      <color theme="1"/>
      <name val="Trebuchet MS"/>
      <family val="2"/>
    </font>
    <font>
      <sz val="9"/>
      <color theme="0"/>
      <name val="Trebuchet MS"/>
      <family val="2"/>
      <scheme val="minor"/>
    </font>
    <font>
      <sz val="9"/>
      <color theme="3"/>
      <name val="Trebuchet MS"/>
      <family val="2"/>
      <scheme val="minor"/>
    </font>
    <font>
      <b/>
      <sz val="9"/>
      <color theme="3"/>
      <name val="Trebuchet MS"/>
      <family val="2"/>
      <scheme val="minor"/>
    </font>
    <font>
      <b/>
      <sz val="9"/>
      <color theme="3"/>
      <name val="Trebuchet MS"/>
      <family val="2"/>
    </font>
    <font>
      <b/>
      <sz val="10"/>
      <color theme="3"/>
      <name val="Trebuchet MS"/>
      <family val="2"/>
    </font>
    <font>
      <sz val="9"/>
      <color theme="3"/>
      <name val="Arial"/>
      <family val="2"/>
    </font>
    <font>
      <b/>
      <sz val="9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theme="1" tint="-9.9948118533890809E-2"/>
      </bottom>
      <diagonal/>
    </border>
    <border>
      <left/>
      <right/>
      <top style="thin">
        <color theme="1" tint="-9.9948118533890809E-2"/>
      </top>
      <bottom style="double">
        <color theme="1" tint="-9.9948118533890809E-2"/>
      </bottom>
      <diagonal/>
    </border>
  </borders>
  <cellStyleXfs count="31">
    <xf numFmtId="0" fontId="0" fillId="0" borderId="0">
      <alignment horizontal="left" vertical="center"/>
    </xf>
    <xf numFmtId="3" fontId="3" fillId="0" borderId="0" applyFill="0" applyBorder="0" applyAlignment="0" applyProtection="0"/>
    <xf numFmtId="41" fontId="3" fillId="0" borderId="0" applyFill="0" applyBorder="0" applyAlignment="0" applyProtection="0"/>
    <xf numFmtId="164" fontId="3" fillId="0" borderId="0" applyFill="0" applyBorder="0" applyAlignment="0" applyProtection="0"/>
    <xf numFmtId="42" fontId="3" fillId="0" borderId="0" applyFill="0" applyBorder="0" applyAlignment="0" applyProtection="0"/>
    <xf numFmtId="10" fontId="3" fillId="0" borderId="0" applyFill="0" applyBorder="0" applyAlignment="0" applyProtection="0"/>
    <xf numFmtId="0" fontId="4" fillId="0" borderId="3" applyFill="0" applyAlignment="0" applyProtection="0"/>
    <xf numFmtId="0" fontId="4" fillId="0" borderId="3" applyNumberFormat="0" applyFill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</cellStyleXfs>
  <cellXfs count="11">
    <xf numFmtId="0" fontId="0" fillId="0" borderId="0" xfId="0">
      <alignment horizontal="left" vertical="center"/>
    </xf>
    <xf numFmtId="0" fontId="7" fillId="0" borderId="0" xfId="0" applyFont="1">
      <alignment horizontal="left" vertical="center"/>
    </xf>
    <xf numFmtId="164" fontId="7" fillId="0" borderId="0" xfId="0" applyNumberFormat="1" applyFont="1">
      <alignment horizontal="left" vertical="center"/>
    </xf>
    <xf numFmtId="2" fontId="7" fillId="0" borderId="0" xfId="0" applyNumberFormat="1" applyFont="1">
      <alignment horizontal="left" vertical="center"/>
    </xf>
    <xf numFmtId="10" fontId="7" fillId="0" borderId="0" xfId="0" applyNumberFormat="1" applyFont="1">
      <alignment horizontal="left" vertical="center"/>
    </xf>
    <xf numFmtId="1" fontId="7" fillId="0" borderId="0" xfId="0" applyNumberFormat="1" applyFont="1">
      <alignment horizontal="left" vertical="center"/>
    </xf>
    <xf numFmtId="0" fontId="7" fillId="0" borderId="0" xfId="0" applyFont="1" applyAlignment="1">
      <alignment horizontal="left" vertical="center" wrapText="1"/>
    </xf>
    <xf numFmtId="9" fontId="7" fillId="0" borderId="0" xfId="0" applyNumberFormat="1" applyFont="1">
      <alignment horizontal="left" vertical="center"/>
    </xf>
    <xf numFmtId="0" fontId="8" fillId="21" borderId="0" xfId="0" applyFont="1" applyFill="1">
      <alignment horizontal="left" vertical="center"/>
    </xf>
    <xf numFmtId="0" fontId="7" fillId="21" borderId="0" xfId="0" applyFont="1" applyFill="1">
      <alignment horizontal="left" vertical="center"/>
    </xf>
    <xf numFmtId="14" fontId="7" fillId="0" borderId="0" xfId="0" applyNumberFormat="1" applyFont="1">
      <alignment horizontal="left" vertical="center"/>
    </xf>
  </cellXfs>
  <cellStyles count="31">
    <cellStyle name="20% - Accent1" xfId="12" builtinId="30" customBuiltin="1"/>
    <cellStyle name="20% - Accent2" xfId="16" builtinId="34" customBuiltin="1"/>
    <cellStyle name="20% - Accent3" xfId="19" builtinId="38" customBuiltin="1"/>
    <cellStyle name="20% - Accent4" xfId="22" builtinId="42" customBuiltin="1"/>
    <cellStyle name="20% - Accent5" xfId="25" builtinId="46" customBuiltin="1"/>
    <cellStyle name="20% - Accent6" xfId="28" builtinId="50" customBuiltin="1"/>
    <cellStyle name="40% - Accent1" xfId="13" builtinId="31" customBuiltin="1"/>
    <cellStyle name="40% - Accent2" xfId="17" builtinId="35" customBuiltin="1"/>
    <cellStyle name="40% - Accent3" xfId="20" builtinId="39" customBuiltin="1"/>
    <cellStyle name="40% - Accent4" xfId="23" builtinId="43" customBuiltin="1"/>
    <cellStyle name="40% - Accent5" xfId="26" builtinId="47" customBuiltin="1"/>
    <cellStyle name="40% - Accent6" xfId="29" builtinId="51" customBuiltin="1"/>
    <cellStyle name="60% - Accent1" xfId="14" builtinId="32" customBuiltin="1"/>
    <cellStyle name="60% - Accent2" xfId="18" builtinId="36" customBuiltin="1"/>
    <cellStyle name="60% - Accent3" xfId="21" builtinId="40" customBuiltin="1"/>
    <cellStyle name="60% - Accent4" xfId="24" builtinId="44" customBuiltin="1"/>
    <cellStyle name="60% - Accent5" xfId="27" builtinId="48" customBuiltin="1"/>
    <cellStyle name="60% - Accent6" xfId="30" builtinId="52" customBuiltin="1"/>
    <cellStyle name="Accent2" xfId="15" builtinId="3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Normal" xfId="0" builtinId="0" customBuiltin="1"/>
    <cellStyle name="Percent" xfId="5" builtinId="5" customBuiltin="1"/>
    <cellStyle name="Title" xfId="6" builtinId="15" customBuiltin="1"/>
    <cellStyle name="Total" xfId="11" builtinId="25" customBuiltin="1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ill>
        <patternFill patternType="none">
          <fgColor auto="1"/>
          <bgColor auto="1"/>
        </patternFill>
      </fill>
    </dxf>
    <dxf>
      <fill>
        <patternFill patternType="solid">
          <fgColor auto="1"/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b/>
        <i val="0"/>
        <color auto="1"/>
      </font>
      <border diagonalDown="0">
        <left style="thin">
          <color auto="1"/>
        </left>
        <top style="thin">
          <color auto="1"/>
        </top>
        <bottom style="thin">
          <color auto="1"/>
        </bottom>
      </border>
    </dxf>
    <dxf>
      <font>
        <b/>
        <i val="0"/>
        <color auto="1"/>
      </font>
      <border>
        <bottom style="thin">
          <color auto="1"/>
        </bottom>
      </border>
    </dxf>
    <dxf>
      <font>
        <color auto="1"/>
      </font>
      <border diagonalUp="0" diagonalDown="0">
        <left/>
        <right/>
        <top/>
        <bottom style="thin">
          <color auto="1"/>
        </bottom>
        <vertical/>
        <horizontal/>
      </border>
    </dxf>
  </dxfs>
  <tableStyles count="1" defaultTableStyle="TMR Table 1" defaultPivotStyle="PivotStyleLight16">
    <tableStyle name="TMR Table 1" pivot="0" count="7" xr9:uid="{B8E998E0-179F-4684-867E-D4D03279D1D3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2B628E-5F35-49C3-982D-EBBE14F9E66B}" name="AstVol" displayName="AstVol" ref="B7:J17" totalsRowShown="0" headerRowDxfId="21" dataDxfId="20">
  <tableColumns count="9">
    <tableColumn id="9" xr3:uid="{31BFB187-380D-429F-AF8D-9E0E4E57400D}" name="N" dataDxfId="19"/>
    <tableColumn id="8" xr3:uid="{DC78F119-3957-4684-8938-776DDA2982FD}" name="Ticker" dataDxfId="18"/>
    <tableColumn id="7" xr3:uid="{E25A28A0-8143-40E3-BD3B-35377D5A7C68}" name="Company Name" dataDxfId="17"/>
    <tableColumn id="1" xr3:uid="{A78E5FCE-D66F-4549-AB5D-28DC20327520}" name="Market Cap" dataDxfId="16"/>
    <tableColumn id="2" xr3:uid="{0D0BA68B-614E-4154-BFC2-D939658BD085}" name="Book Value of Debt" dataDxfId="15"/>
    <tableColumn id="3" xr3:uid="{3754B187-9225-467C-A818-F615E1CB371C}" name="Term Period" dataDxfId="14"/>
    <tableColumn id="4" xr3:uid="{C0AD5B95-6B43-4036-832E-CF3F741EDCB9}" name="Risk-free Rate " dataDxfId="13"/>
    <tableColumn id="5" xr3:uid="{9EDC2D63-0010-473A-BDF0-79737F8AC7F8}" name="Equity Volatility" dataDxfId="12"/>
    <tableColumn id="6" xr3:uid="{B37E264A-E46A-4051-9E65-3CD044BA5894}" name="Asset _x000a_Volatility" dataDxfId="11">
      <calculatedColumnFormula array="1">SolveAssetVolatility(AstVol[[#This Row],[Book Value of Debt]], AstVol[[#This Row],[Market Cap]], AstVol[[#This Row],[Equity Volatility]], AstVol[[#This Row],[Term Period]], AstVol[[#This Row],[Risk-free Rate ]])</calculatedColumnFormula>
    </tableColumn>
  </tableColumns>
  <tableStyleInfo name="TMR Tab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1A4E44-F5D4-45AF-9BBF-8A0E87EDFBFD}" name="VDate" displayName="VDate" ref="B3:B4" totalsRowShown="0" headerRowDxfId="10" dataDxfId="9">
  <tableColumns count="1">
    <tableColumn id="1" xr3:uid="{26FD5437-53A5-4EFC-832E-9210E9C0BBC8}" name="Date" dataDxfId="8"/>
  </tableColumns>
  <tableStyleInfo name="TMR Tab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60BAD8-9E3A-44F9-B3FE-942F50098F38}" name="Table3" displayName="Table3" ref="B4:G5" totalsRowShown="0" headerRowDxfId="7" dataDxfId="6">
  <tableColumns count="6">
    <tableColumn id="3" xr3:uid="{D2482BDC-0780-4D01-BCE9-D77CE7220195}" name="Market Cap" dataDxfId="5"/>
    <tableColumn id="4" xr3:uid="{68629C3B-89F4-4F82-9B44-78735CAF8ED5}" name="Book Value of Debt" dataDxfId="4"/>
    <tableColumn id="5" xr3:uid="{2F92CA32-91B1-4C0B-A0BE-FE4DC4AA7B56}" name="Asset Volatility" dataDxfId="3"/>
    <tableColumn id="6" xr3:uid="{A40AE3E1-49C5-411E-88A4-4439737D3778}" name="Term Period" dataDxfId="2"/>
    <tableColumn id="7" xr3:uid="{C43A53C0-763D-4AD5-B577-6661C60E865F}" name="Risk-free Rate " dataDxfId="1"/>
    <tableColumn id="8" xr3:uid="{AA944B2B-2CA1-4AC1-A746-0BADF2D7CA2B}" name="Relevered Volatility" dataDxfId="0">
      <calculatedColumnFormula array="1">SolveReleveredVolatility(Table3[[#This Row],[Book Value of Debt]], Table3[[#This Row],[Market Cap]], Table3[[#This Row],[Asset Volatility]], Table3[[#This Row],[Term Period]], Table3[[#This Row],[Risk-free Rate ]], 0.001)</calculatedColumnFormula>
    </tableColumn>
  </tableColumns>
  <tableStyleInfo name="TMR Table 1" showFirstColumn="0" showLastColumn="0" showRowStripes="1" showColumnStripes="0"/>
</table>
</file>

<file path=xl/theme/theme1.xml><?xml version="1.0" encoding="utf-8"?>
<a:theme xmlns:a="http://schemas.openxmlformats.org/drawingml/2006/main" name="Marcum Theme">
  <a:themeElements>
    <a:clrScheme name="Marcum?">
      <a:dk1>
        <a:sysClr val="windowText" lastClr="000000"/>
      </a:dk1>
      <a:lt1>
        <a:srgbClr val="FFFFFF"/>
      </a:lt1>
      <a:dk2>
        <a:srgbClr val="000000"/>
      </a:dk2>
      <a:lt2>
        <a:srgbClr val="0099A9"/>
      </a:lt2>
      <a:accent1>
        <a:srgbClr val="004750"/>
      </a:accent1>
      <a:accent2>
        <a:srgbClr val="0099A9"/>
      </a:accent2>
      <a:accent3>
        <a:srgbClr val="F28B00"/>
      </a:accent3>
      <a:accent4>
        <a:srgbClr val="6D6E71"/>
      </a:accent4>
      <a:accent5>
        <a:srgbClr val="A7A9AC"/>
      </a:accent5>
      <a:accent6>
        <a:srgbClr val="A3D55F"/>
      </a:accent6>
      <a:hlink>
        <a:srgbClr val="02A5E2"/>
      </a:hlink>
      <a:folHlink>
        <a:srgbClr val="02A5E2"/>
      </a:folHlink>
    </a:clrScheme>
    <a:fontScheme name="Trebuchet MS">
      <a:majorFont>
        <a:latin typeface="Trebuchet MS" panose="020B0603020202020204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lIns="0" tIns="0" rIns="0" bIns="0">
        <a:spAutoFit/>
      </a:bodyPr>
      <a:lstStyle>
        <a:defPPr algn="l">
          <a:spcBef>
            <a:spcPct val="20000"/>
          </a:spcBef>
          <a:defRPr sz="2000" b="0" kern="0" dirty="0">
            <a:solidFill>
              <a:srgbClr val="404040"/>
            </a:solidFill>
            <a:latin typeface="Trebuchet MS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25400" cap="flat" cmpd="sng" algn="ctr">
          <a:solidFill>
            <a:srgbClr val="9D8D85"/>
          </a:solidFill>
          <a:prstDash val="solid"/>
          <a:round/>
          <a:headEnd type="none" w="med" len="med"/>
          <a:tailEnd type="triangle" w="lg" len="med"/>
        </a:ln>
        <a:effectLst/>
      </a:spPr>
      <a:bodyPr vert="horz" wrap="square" lIns="0" tIns="0" rIns="0" bIns="0" numCol="1" anchor="ctr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GB" sz="1400" b="1" i="0" u="none" strike="noStrike" cap="none" normalizeH="0" baseline="0" smtClean="0">
            <a:ln>
              <a:noFill/>
            </a:ln>
            <a:solidFill>
              <a:schemeClr val="bg1"/>
            </a:solidFill>
            <a:effectLst/>
            <a:latin typeface="Trebuchet MS" pitchFamily="34" charset="0"/>
          </a:defRPr>
        </a:defPPr>
      </a:lstStyle>
    </a:lnDef>
    <a:txDef>
      <a:spPr>
        <a:noFill/>
      </a:spPr>
      <a:bodyPr wrap="square" lIns="0" tIns="0" rIns="0" bIns="0" rtlCol="0">
        <a:noAutofit/>
      </a:bodyPr>
      <a:lstStyle>
        <a:defPPr algn="l">
          <a:defRPr dirty="0" smtClean="0">
            <a:solidFill>
              <a:schemeClr val="tx2"/>
            </a:solidFill>
          </a:defRPr>
        </a:defPPr>
      </a:lstStyle>
    </a:txDef>
  </a:objectDefaults>
  <a:extraClrSchemeLst>
    <a:extraClrScheme>
      <a:clrScheme name="Default Design 1">
        <a:dk1>
          <a:srgbClr val="000000"/>
        </a:dk1>
        <a:lt1>
          <a:srgbClr val="FFFFFF"/>
        </a:lt1>
        <a:dk2>
          <a:srgbClr val="786860"/>
        </a:dk2>
        <a:lt2>
          <a:srgbClr val="D1108C"/>
        </a:lt2>
        <a:accent1>
          <a:srgbClr val="ED1A3B"/>
        </a:accent1>
        <a:accent2>
          <a:srgbClr val="2EAFA4"/>
        </a:accent2>
        <a:accent3>
          <a:srgbClr val="FFFFFF"/>
        </a:accent3>
        <a:accent4>
          <a:srgbClr val="000000"/>
        </a:accent4>
        <a:accent5>
          <a:srgbClr val="F4ABAF"/>
        </a:accent5>
        <a:accent6>
          <a:srgbClr val="299E94"/>
        </a:accent6>
        <a:hlink>
          <a:srgbClr val="98002E"/>
        </a:hlink>
        <a:folHlink>
          <a:srgbClr val="62CAE3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BDO CVI 2018" id="{15E60877-117A-43DF-9BDF-C40DD00A7F5A}" vid="{C1AC1FF9-C3CD-4227-975A-625DF9E463F0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44AC-E270-443E-862A-93A619079764}">
  <dimension ref="A1:E1"/>
  <sheetViews>
    <sheetView workbookViewId="0"/>
  </sheetViews>
  <sheetFormatPr defaultRowHeight="11.6" x14ac:dyDescent="0.3"/>
  <sheetData>
    <row r="1" spans="1:5" x14ac:dyDescent="0.3">
      <c r="A1">
        <v>5</v>
      </c>
      <c r="B1" t="s">
        <v>22</v>
      </c>
      <c r="C1" t="s">
        <v>23</v>
      </c>
      <c r="D1" t="s">
        <v>24</v>
      </c>
      <c r="E1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5AE5-7B3D-4A35-8264-C4A0AC624F41}">
  <sheetPr codeName="Sheet1"/>
  <dimension ref="B2:J17"/>
  <sheetViews>
    <sheetView showGridLines="0" tabSelected="1" zoomScale="115" zoomScaleNormal="115" workbookViewId="0">
      <selection activeCell="F8" sqref="F8"/>
    </sheetView>
  </sheetViews>
  <sheetFormatPr defaultColWidth="9.25" defaultRowHeight="11.6" x14ac:dyDescent="0.3"/>
  <cols>
    <col min="1" max="1" width="9.25" style="1"/>
    <col min="2" max="2" width="14.58203125" style="1" customWidth="1"/>
    <col min="3" max="3" width="9.25" style="1" customWidth="1"/>
    <col min="4" max="4" width="25.9140625" style="1" customWidth="1"/>
    <col min="5" max="10" width="20.58203125" style="1" customWidth="1"/>
    <col min="11" max="11" width="10.75" style="1" customWidth="1"/>
    <col min="12" max="16384" width="9.25" style="1"/>
  </cols>
  <sheetData>
    <row r="2" spans="2:10" x14ac:dyDescent="0.3">
      <c r="B2" s="8" t="s">
        <v>21</v>
      </c>
    </row>
    <row r="3" spans="2:10" x14ac:dyDescent="0.3">
      <c r="B3" s="1" t="s">
        <v>20</v>
      </c>
    </row>
    <row r="4" spans="2:10" x14ac:dyDescent="0.3">
      <c r="B4" s="10">
        <v>45473</v>
      </c>
    </row>
    <row r="6" spans="2:10" x14ac:dyDescent="0.3">
      <c r="B6" s="8" t="s">
        <v>8</v>
      </c>
      <c r="C6" s="9"/>
      <c r="D6" s="9"/>
      <c r="E6" s="9"/>
      <c r="F6" s="9"/>
      <c r="G6" s="9"/>
      <c r="H6" s="9"/>
      <c r="I6" s="9"/>
      <c r="J6" s="9"/>
    </row>
    <row r="7" spans="2:10" x14ac:dyDescent="0.3">
      <c r="B7" s="1" t="s">
        <v>5</v>
      </c>
      <c r="C7" s="1" t="s">
        <v>6</v>
      </c>
      <c r="D7" s="1" t="s">
        <v>7</v>
      </c>
      <c r="E7" s="1" t="s">
        <v>1</v>
      </c>
      <c r="F7" s="1" t="s">
        <v>0</v>
      </c>
      <c r="G7" s="1" t="s">
        <v>2</v>
      </c>
      <c r="H7" s="1" t="s">
        <v>3</v>
      </c>
      <c r="I7" s="1" t="s">
        <v>4</v>
      </c>
      <c r="J7" s="1" t="s">
        <v>11</v>
      </c>
    </row>
    <row r="8" spans="2:10" x14ac:dyDescent="0.3">
      <c r="B8" s="5">
        <v>1</v>
      </c>
      <c r="C8" s="4" t="s">
        <v>13</v>
      </c>
      <c r="D8" s="4" t="s">
        <v>26</v>
      </c>
      <c r="E8" s="2">
        <v>137021.85513700001</v>
      </c>
      <c r="F8" s="2">
        <v>149605</v>
      </c>
      <c r="G8" s="3">
        <v>5</v>
      </c>
      <c r="H8" s="4">
        <v>0.05</v>
      </c>
      <c r="I8" s="4">
        <v>0.26800000000000002</v>
      </c>
      <c r="J8" s="4" cm="1">
        <f t="array" ref="J8">SolveAssetVolatility(AstVol[[#This Row],[Book Value of Debt]], AstVol[[#This Row],[Market Cap]], AstVol[[#This Row],[Equity Volatility]], AstVol[[#This Row],[Term Period]], AstVol[[#This Row],[Risk-free Rate ]])</f>
        <v>0.14572144320332417</v>
      </c>
    </row>
    <row r="9" spans="2:10" x14ac:dyDescent="0.3">
      <c r="B9" s="5">
        <v>2</v>
      </c>
      <c r="C9" s="4" t="s">
        <v>14</v>
      </c>
      <c r="D9" s="4" t="s">
        <v>27</v>
      </c>
      <c r="E9" s="2">
        <v>53.527334199999999</v>
      </c>
      <c r="F9" s="2">
        <v>20.188614000000001</v>
      </c>
      <c r="G9" s="3">
        <v>5</v>
      </c>
      <c r="H9" s="4">
        <v>0.05</v>
      </c>
      <c r="I9" s="4">
        <v>0.46800000000000003</v>
      </c>
      <c r="J9" s="4" cm="1">
        <f t="array" ref="J9">SolveAssetVolatility(AstVol[[#This Row],[Book Value of Debt]], AstVol[[#This Row],[Market Cap]], AstVol[[#This Row],[Equity Volatility]], AstVol[[#This Row],[Term Period]], AstVol[[#This Row],[Risk-free Rate ]])</f>
        <v>0.36876944766338909</v>
      </c>
    </row>
    <row r="10" spans="2:10" x14ac:dyDescent="0.3">
      <c r="B10" s="5">
        <v>3</v>
      </c>
      <c r="C10" s="4" t="s">
        <v>15</v>
      </c>
      <c r="D10" s="4" t="s">
        <v>28</v>
      </c>
      <c r="E10" s="2">
        <v>6585.9537479999999</v>
      </c>
      <c r="F10" s="2">
        <v>21.446000000000002</v>
      </c>
      <c r="G10" s="3">
        <v>5</v>
      </c>
      <c r="H10" s="4">
        <v>0.05</v>
      </c>
      <c r="I10" s="4">
        <v>0.31900000000000001</v>
      </c>
      <c r="J10" s="4" cm="1">
        <f t="array" ref="J10">SolveAssetVolatility(AstVol[[#This Row],[Book Value of Debt]], AstVol[[#This Row],[Market Cap]], AstVol[[#This Row],[Equity Volatility]], AstVol[[#This Row],[Term Period]], AstVol[[#This Row],[Risk-free Rate ]])</f>
        <v>0.31819305357418404</v>
      </c>
    </row>
    <row r="11" spans="2:10" x14ac:dyDescent="0.3">
      <c r="B11" s="5">
        <v>4</v>
      </c>
      <c r="C11" s="4" t="s">
        <v>13</v>
      </c>
      <c r="D11" s="4" t="s">
        <v>26</v>
      </c>
      <c r="E11" s="2">
        <v>137021.85513700001</v>
      </c>
      <c r="F11" s="2">
        <v>149605</v>
      </c>
      <c r="G11" s="3">
        <v>5</v>
      </c>
      <c r="H11" s="4">
        <v>0.05</v>
      </c>
      <c r="I11" s="4">
        <v>0.27100000000000002</v>
      </c>
      <c r="J11" s="4" cm="1">
        <f t="array" ref="J11">SolveAssetVolatility(AstVol[[#This Row],[Book Value of Debt]], AstVol[[#This Row],[Market Cap]], AstVol[[#This Row],[Equity Volatility]], AstVol[[#This Row],[Term Period]], AstVol[[#This Row],[Risk-free Rate ]])</f>
        <v>0.14742324977511437</v>
      </c>
    </row>
    <row r="12" spans="2:10" x14ac:dyDescent="0.3">
      <c r="B12" s="5">
        <v>5</v>
      </c>
      <c r="C12" s="4" t="s">
        <v>15</v>
      </c>
      <c r="D12" s="4" t="s">
        <v>28</v>
      </c>
      <c r="E12" s="2">
        <v>6585.9537479999999</v>
      </c>
      <c r="F12" s="2">
        <v>21.446000000000002</v>
      </c>
      <c r="G12" s="3">
        <v>5</v>
      </c>
      <c r="H12" s="4">
        <v>0.05</v>
      </c>
      <c r="I12" s="4">
        <v>0.27600000000000002</v>
      </c>
      <c r="J12" s="4" cm="1">
        <f t="array" ref="J12">SolveAssetVolatility(AstVol[[#This Row],[Book Value of Debt]], AstVol[[#This Row],[Market Cap]], AstVol[[#This Row],[Equity Volatility]], AstVol[[#This Row],[Term Period]], AstVol[[#This Row],[Risk-free Rate ]])</f>
        <v>0.2753018269168489</v>
      </c>
    </row>
    <row r="13" spans="2:10" x14ac:dyDescent="0.3">
      <c r="B13" s="5">
        <v>6</v>
      </c>
      <c r="C13" s="4" t="s">
        <v>16</v>
      </c>
      <c r="D13" s="4" t="s">
        <v>29</v>
      </c>
      <c r="E13" s="2">
        <v>37820.961837000003</v>
      </c>
      <c r="F13" s="2">
        <v>2726</v>
      </c>
      <c r="G13" s="3">
        <v>5</v>
      </c>
      <c r="H13" s="4">
        <v>0.05</v>
      </c>
      <c r="I13" s="4">
        <v>0.38700000000000001</v>
      </c>
      <c r="J13" s="4" cm="1">
        <f t="array" ref="J13">SolveAssetVolatility(AstVol[[#This Row],[Book Value of Debt]], AstVol[[#This Row],[Market Cap]], AstVol[[#This Row],[Equity Volatility]], AstVol[[#This Row],[Term Period]], AstVol[[#This Row],[Risk-free Rate ]])</f>
        <v>0.36644581414627908</v>
      </c>
    </row>
    <row r="14" spans="2:10" x14ac:dyDescent="0.3">
      <c r="B14" s="5">
        <v>7</v>
      </c>
      <c r="C14" s="4" t="s">
        <v>17</v>
      </c>
      <c r="D14" s="4" t="s">
        <v>30</v>
      </c>
      <c r="E14" s="2">
        <v>5307.100531</v>
      </c>
      <c r="F14" s="2">
        <v>6032</v>
      </c>
      <c r="G14" s="3">
        <v>5</v>
      </c>
      <c r="H14" s="4">
        <v>0.05</v>
      </c>
      <c r="I14" s="4">
        <v>0.5</v>
      </c>
      <c r="J14" s="4" cm="1">
        <f t="array" ref="J14">SolveAssetVolatility(AstVol[[#This Row],[Book Value of Debt]], AstVol[[#This Row],[Market Cap]], AstVol[[#This Row],[Equity Volatility]], AstVol[[#This Row],[Term Period]], AstVol[[#This Row],[Risk-free Rate ]])</f>
        <v>0.2961141974156134</v>
      </c>
    </row>
    <row r="15" spans="2:10" x14ac:dyDescent="0.3">
      <c r="B15" s="5">
        <v>8</v>
      </c>
      <c r="C15" s="4" t="s">
        <v>18</v>
      </c>
      <c r="D15" s="4" t="s">
        <v>31</v>
      </c>
      <c r="E15" s="2">
        <v>8.7999999999999998E-5</v>
      </c>
      <c r="F15" s="2">
        <v>20.435556999999999</v>
      </c>
      <c r="G15" s="3">
        <v>5</v>
      </c>
      <c r="H15" s="4">
        <v>0.05</v>
      </c>
      <c r="I15" s="4">
        <v>0.38300000000000001</v>
      </c>
      <c r="J15" s="4" cm="1">
        <f t="array" ref="J15">SolveAssetVolatility(AstVol[[#This Row],[Book Value of Debt]], AstVol[[#This Row],[Market Cap]], AstVol[[#This Row],[Equity Volatility]], AstVol[[#This Row],[Term Period]], AstVol[[#This Row],[Risk-free Rate ]])</f>
        <v>3.033209162962791E-6</v>
      </c>
    </row>
    <row r="16" spans="2:10" x14ac:dyDescent="0.3">
      <c r="B16" s="5">
        <v>9</v>
      </c>
      <c r="C16" s="4" t="s">
        <v>19</v>
      </c>
      <c r="D16" s="4" t="s">
        <v>32</v>
      </c>
      <c r="E16" s="2">
        <v>16547.903797999999</v>
      </c>
      <c r="F16" s="2">
        <v>9571</v>
      </c>
      <c r="G16" s="3">
        <v>5</v>
      </c>
      <c r="H16" s="4">
        <v>0.05</v>
      </c>
      <c r="I16" s="4">
        <v>0.26800000000000002</v>
      </c>
      <c r="J16" s="4" cm="1">
        <f t="array" ref="J16">SolveAssetVolatility(AstVol[[#This Row],[Book Value of Debt]], AstVol[[#This Row],[Market Cap]], AstVol[[#This Row],[Equity Volatility]], AstVol[[#This Row],[Term Period]], AstVol[[#This Row],[Risk-free Rate ]])</f>
        <v>0.18502420989858798</v>
      </c>
    </row>
    <row r="17" spans="2:10" x14ac:dyDescent="0.3">
      <c r="B17" s="5">
        <v>10</v>
      </c>
      <c r="C17" s="4" t="s">
        <v>14</v>
      </c>
      <c r="D17" s="4" t="s">
        <v>27</v>
      </c>
      <c r="E17" s="2">
        <v>53.527334199999999</v>
      </c>
      <c r="F17" s="2">
        <v>20.188614000000001</v>
      </c>
      <c r="G17" s="3">
        <v>5</v>
      </c>
      <c r="H17" s="4">
        <v>0.05</v>
      </c>
      <c r="I17" s="4">
        <v>0.46800000000000003</v>
      </c>
      <c r="J17" s="4" cm="1">
        <f t="array" ref="J17">SolveAssetVolatility(AstVol[[#This Row],[Book Value of Debt]], AstVol[[#This Row],[Market Cap]], AstVol[[#This Row],[Equity Volatility]], AstVol[[#This Row],[Term Period]], AstVol[[#This Row],[Risk-free Rate ]])</f>
        <v>0.36876944766338909</v>
      </c>
    </row>
  </sheetData>
  <printOptions horizontalCentered="1"/>
  <pageMargins left="0.5" right="0.5" top="0.5" bottom="0.5" header="0.3" footer="0.3"/>
  <pageSetup orientation="landscape" horizontalDpi="1200" verticalDpi="1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82B9C-0FC3-4E1D-BDFB-CA48A12F0078}">
  <sheetPr codeName="Sheet2"/>
  <dimension ref="B3:J5"/>
  <sheetViews>
    <sheetView showGridLines="0" zoomScaleNormal="100" workbookViewId="0">
      <selection activeCell="E7" sqref="E7"/>
    </sheetView>
  </sheetViews>
  <sheetFormatPr defaultColWidth="9.25" defaultRowHeight="11.6" x14ac:dyDescent="0.3"/>
  <cols>
    <col min="1" max="1" width="9.25" style="1"/>
    <col min="2" max="3" width="20.58203125" style="1" customWidth="1"/>
    <col min="4" max="4" width="16.5" style="1" customWidth="1"/>
    <col min="5" max="7" width="20.58203125" style="1" customWidth="1"/>
    <col min="8" max="16384" width="9.25" style="1"/>
  </cols>
  <sheetData>
    <row r="3" spans="2:10" x14ac:dyDescent="0.3">
      <c r="B3" s="8" t="s">
        <v>12</v>
      </c>
      <c r="C3" s="9"/>
      <c r="D3" s="9"/>
      <c r="E3" s="9"/>
      <c r="F3" s="9"/>
      <c r="G3" s="9"/>
      <c r="H3"/>
      <c r="I3"/>
      <c r="J3"/>
    </row>
    <row r="4" spans="2:10" x14ac:dyDescent="0.3">
      <c r="B4" s="1" t="s">
        <v>1</v>
      </c>
      <c r="C4" s="1" t="s">
        <v>0</v>
      </c>
      <c r="D4" s="1" t="s">
        <v>9</v>
      </c>
      <c r="E4" s="1" t="s">
        <v>2</v>
      </c>
      <c r="F4" s="1" t="s">
        <v>3</v>
      </c>
      <c r="G4" s="6" t="s">
        <v>10</v>
      </c>
      <c r="H4"/>
      <c r="I4"/>
      <c r="J4"/>
    </row>
    <row r="5" spans="2:10" x14ac:dyDescent="0.3">
      <c r="B5" s="2">
        <v>250</v>
      </c>
      <c r="C5" s="2">
        <v>960</v>
      </c>
      <c r="D5" s="7">
        <v>0.25</v>
      </c>
      <c r="E5" s="3">
        <v>5</v>
      </c>
      <c r="F5" s="4">
        <v>0.05</v>
      </c>
      <c r="G5" s="4" cm="1">
        <f t="array" ref="G5">SolveReleveredVolatility(Table3[[#This Row],[Book Value of Debt]], Table3[[#This Row],[Market Cap]], Table3[[#This Row],[Asset Volatility]], Table3[[#This Row],[Term Period]], Table3[[#This Row],[Risk-free Rate ]], 0.001)</f>
        <v>0.62514001616206483</v>
      </c>
    </row>
  </sheetData>
  <printOptions horizontalCentered="1"/>
  <pageMargins left="0.5" right="0.5" top="0.5" bottom="0.5" header="0.3" footer="0.3"/>
  <pageSetup orientation="landscape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0DBCC617EB8841B8E1799094B8E6C0" ma:contentTypeVersion="23" ma:contentTypeDescription="Create a new document." ma:contentTypeScope="" ma:versionID="45eb17f81dbd8cf151a29ba0904ee954">
  <xsd:schema xmlns:xsd="http://www.w3.org/2001/XMLSchema" xmlns:xs="http://www.w3.org/2001/XMLSchema" xmlns:p="http://schemas.microsoft.com/office/2006/metadata/properties" xmlns:ns1="http://schemas.microsoft.com/sharepoint/v3" xmlns:ns2="fb9ab271-3a04-4880-b694-74d8ad214b16" xmlns:ns3="b4cf2772-94c7-4732-982f-cb134ebf7dbd" targetNamespace="http://schemas.microsoft.com/office/2006/metadata/properties" ma:root="true" ma:fieldsID="e0a99ae49c3f2ddb2366395448f76992" ns1:_="" ns2:_="" ns3:_="">
    <xsd:import namespace="http://schemas.microsoft.com/sharepoint/v3"/>
    <xsd:import namespace="fb9ab271-3a04-4880-b694-74d8ad214b16"/>
    <xsd:import namespace="b4cf2772-94c7-4732-982f-cb134ebf7dbd"/>
    <xsd:element name="properties">
      <xsd:complexType>
        <xsd:sequence>
          <xsd:element name="documentManagement">
            <xsd:complexType>
              <xsd:all>
                <xsd:element ref="ns2:ValuationDate" minOccurs="0"/>
                <xsd:element ref="ns2:InstrumentType" minOccurs="0"/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1:DocumentSetDescription" minOccurs="0"/>
                <xsd:element ref="ns3:Client_x0020_Name" minOccurs="0"/>
                <xsd:element ref="ns3:Engagement_x0020_Na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DocumentSetDescription" ma:index="29" nillable="true" ma:displayName="Description" ma:description="A description of the Document Set" ma:internalName="DocumentSetDescription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9ab271-3a04-4880-b694-74d8ad214b16" elementFormDefault="qualified">
    <xsd:import namespace="http://schemas.microsoft.com/office/2006/documentManagement/types"/>
    <xsd:import namespace="http://schemas.microsoft.com/office/infopath/2007/PartnerControls"/>
    <xsd:element name="ValuationDate" ma:index="2" nillable="true" ma:displayName="Valuation Date" ma:format="DateOnly" ma:internalName="ValuationDate" ma:readOnly="false">
      <xsd:simpleType>
        <xsd:restriction base="dms:DateTime"/>
      </xsd:simpleType>
    </xsd:element>
    <xsd:element name="InstrumentType" ma:index="3" nillable="true" ma:displayName="Instrument Type" ma:description="Type of instrument being valued" ma:format="Dropdown" ma:internalName="InstrumentType" ma:readOnly="false">
      <xsd:simpleType>
        <xsd:restriction base="dms:Text">
          <xsd:maxLength value="255"/>
        </xsd:restriction>
      </xsd:simpleType>
    </xsd:element>
    <xsd:element name="_Flow_SignoffStatus" ma:index="4" nillable="true" ma:displayName="Sign-off status" ma:internalName="Sign_x002d_off_x0020_status" ma:readOnly="false">
      <xsd:simpleType>
        <xsd:restriction base="dms:Text"/>
      </xsd:simple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hidden="true" ma:internalName="MediaServiceKeyPoints" ma:readOnly="true">
      <xsd:simpleType>
        <xsd:restriction base="dms:Note"/>
      </xsd:simpleType>
    </xsd:element>
    <xsd:element name="MediaServiceAutoTags" ma:index="12" nillable="true" ma:displayName="Tags" ma:hidden="true" ma:internalName="MediaServiceAutoTags" ma:readOnly="true">
      <xsd:simpleType>
        <xsd:restriction base="dms:Text"/>
      </xsd:simpleType>
    </xsd:element>
    <xsd:element name="MediaServiceOCR" ma:index="13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b8c3af2-204a-487b-88ec-bfb44bf1005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cf2772-94c7-4732-982f-cb134ebf7dbd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4a4d8e7f-912d-4d8d-ab18-9d8e7a83b26a}" ma:internalName="TaxCatchAll" ma:readOnly="false" ma:showField="CatchAllData" ma:web="b4cf2772-94c7-4732-982f-cb134ebf7d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6" nillable="true" ma:displayName="Shared With Details" ma:hidden="true" ma:internalName="SharedWithDetails" ma:readOnly="true">
      <xsd:simpleType>
        <xsd:restriction base="dms:Note"/>
      </xsd:simpleType>
    </xsd:element>
    <xsd:element name="Client_x0020_Name" ma:index="30" nillable="true" ma:displayName="Client Name" ma:default="" ma:internalName="Client_x0020_Name">
      <xsd:simpleType>
        <xsd:restriction base="dms:Text">
          <xsd:maxLength value="255"/>
        </xsd:restriction>
      </xsd:simpleType>
    </xsd:element>
    <xsd:element name="Engagement_x0020_Name" ma:index="31" nillable="true" ma:displayName="Engagement Name" ma:default="" ma:internalName="Engagement_x0020_Name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aluationDate xmlns="fb9ab271-3a04-4880-b694-74d8ad214b16" xsi:nil="true"/>
    <InstrumentType xmlns="fb9ab271-3a04-4880-b694-74d8ad214b16" xsi:nil="true"/>
    <lcf76f155ced4ddcb4097134ff3c332f xmlns="fb9ab271-3a04-4880-b694-74d8ad214b16">
      <Terms xmlns="http://schemas.microsoft.com/office/infopath/2007/PartnerControls"/>
    </lcf76f155ced4ddcb4097134ff3c332f>
    <TaxCatchAll xmlns="b4cf2772-94c7-4732-982f-cb134ebf7dbd" xsi:nil="true"/>
    <_Flow_SignoffStatus xmlns="fb9ab271-3a04-4880-b694-74d8ad214b16" xsi:nil="true"/>
    <Client_x0020_Name xmlns="b4cf2772-94c7-4732-982f-cb134ebf7dbd" xsi:nil="true"/>
    <DocumentSetDescription xmlns="http://schemas.microsoft.com/sharepoint/v3" xsi:nil="true"/>
    <Engagement_x0020_Name xmlns="b4cf2772-94c7-4732-982f-cb134ebf7dbd" xsi:nil="true"/>
  </documentManagement>
</p:properties>
</file>

<file path=customXml/itemProps1.xml><?xml version="1.0" encoding="utf-8"?>
<ds:datastoreItem xmlns:ds="http://schemas.openxmlformats.org/officeDocument/2006/customXml" ds:itemID="{79A0ABB2-24EF-4B70-9BF8-DEBC5F1C32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b9ab271-3a04-4880-b694-74d8ad214b16"/>
    <ds:schemaRef ds:uri="b4cf2772-94c7-4732-982f-cb134ebf7d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034709-1C71-44C5-8FB0-41EBBD3269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6F15D5-F70B-4B15-BD56-0306AAC40770}">
  <ds:schemaRefs>
    <ds:schemaRef ds:uri="http://schemas.microsoft.com/office/2006/metadata/properties"/>
    <ds:schemaRef ds:uri="http://schemas.microsoft.com/office/infopath/2007/PartnerControls"/>
    <ds:schemaRef ds:uri="fb9ab271-3a04-4880-b694-74d8ad214b16"/>
    <ds:schemaRef ds:uri="b4cf2772-94c7-4732-982f-cb134ebf7dbd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AssetVolatility</vt:lpstr>
      <vt:lpstr>ReleveredVolatility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Rob</dc:creator>
  <cp:lastModifiedBy>Mark Rob</cp:lastModifiedBy>
  <dcterms:created xsi:type="dcterms:W3CDTF">2020-08-28T04:35:02Z</dcterms:created>
  <dcterms:modified xsi:type="dcterms:W3CDTF">2024-08-08T22:06:12Z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0x010100220DBCC617EB8841B8E1799094B8E6C0</vt:lpwstr>
  </property>
  <property fmtid="{D5CDD505-2E9C-101B-9397-08002B2CF9AE}" pid="3" name="MediaServiceImageTags">
    <vt:lpwstr/>
  </property>
</Properties>
</file>